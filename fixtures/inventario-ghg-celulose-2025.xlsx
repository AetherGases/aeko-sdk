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Parte1_Informacoes" sheetId="2" state="visible" r:id="rId2"/>
    <sheet xmlns:r="http://schemas.openxmlformats.org/officeDocument/2006/relationships" name="Parte2_Emissoes" sheetId="3" state="visible" r:id="rId3"/>
    <sheet xmlns:r="http://schemas.openxmlformats.org/officeDocument/2006/relationships" name="Parte3_Biogenicas" sheetId="4" state="visible" r:id="rId4"/>
    <sheet xmlns:r="http://schemas.openxmlformats.org/officeDocument/2006/relationships" name="Reducoes" sheetId="5" state="visible" r:id="rId5"/>
    <sheet xmlns:r="http://schemas.openxmlformats.org/officeDocument/2006/relationships" name="Resumo" sheetId="6" state="visible" r:id="rId6"/>
    <sheet xmlns:r="http://schemas.openxmlformats.org/officeDocument/2006/relationships" name="Catalogo" sheetId="7" state="visible" r:id="rId7"/>
  </sheets>
  <definedNames>
    <definedName name="Escopos">Catalogo!$B$6:$B$8</definedName>
    <definedName name="Categorias">Catalogo!$B$12:$B$23</definedName>
    <definedName name="Gases">Catalogo!$B$28:$B$33</definedName>
    <definedName name="Biogenico">Catalogo!$E$5:$E$6</definedName>
    <definedName name="Classificacao">Catalogo!$F$5:$F$6</definedName>
    <definedName name="_xlnm.Print_Titles" localSheetId="0">'Instrucoes'!$1:$1</definedName>
    <definedName name="_xlnm._FilterDatabase" localSheetId="2" hidden="1">'Parte2_Emissoes'!$A$4:$M$18</definedName>
    <definedName name="_xlnm._FilterDatabase" localSheetId="3" hidden="1">'Parte3_Biogenicas'!$A$4:$M$6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45C44"/>
      <sz val="18"/>
    </font>
    <font>
      <name val="Calibri"/>
      <i val="1"/>
      <color rgb="005B6570"/>
      <sz val="10"/>
    </font>
    <font>
      <name val="Calibri"/>
      <b val="1"/>
      <color rgb="00145C44"/>
      <sz val="13"/>
    </font>
    <font>
      <name val="Calibri"/>
      <color rgb="001F2933"/>
      <sz val="10"/>
    </font>
    <font>
      <name val="Calibri"/>
      <b val="1"/>
      <color rgb="00FFFFFF"/>
      <sz val="10"/>
    </font>
    <font>
      <name val="Calibri"/>
      <b val="1"/>
      <color rgb="001F2933"/>
      <sz val="10"/>
    </font>
    <font>
      <name val="Calibri"/>
      <b val="1"/>
      <color rgb="00145C44"/>
      <sz val="10"/>
    </font>
  </fonts>
  <fills count="9">
    <fill>
      <patternFill/>
    </fill>
    <fill>
      <patternFill patternType="gray125"/>
    </fill>
    <fill>
      <patternFill patternType="solid">
        <fgColor rgb="001B7A5A"/>
      </patternFill>
    </fill>
    <fill>
      <patternFill patternType="solid">
        <fgColor rgb="00E6F5EE"/>
      </patternFill>
    </fill>
    <fill>
      <patternFill patternType="solid">
        <fgColor rgb="00FFFFFF"/>
      </patternFill>
    </fill>
    <fill>
      <patternFill patternType="solid">
        <fgColor rgb="00FBF4DE"/>
      </patternFill>
    </fill>
    <fill>
      <patternFill patternType="solid">
        <fgColor rgb="00145C44"/>
      </patternFill>
    </fill>
    <fill>
      <patternFill patternType="solid">
        <fgColor rgb="00F4FAF7"/>
      </patternFill>
    </fill>
    <fill>
      <patternFill patternType="solid">
        <fgColor rgb="00E8F1FA"/>
      </patternFill>
    </fill>
  </fills>
  <borders count="6">
    <border>
      <left/>
      <right/>
      <top/>
      <bottom/>
      <diagonal/>
    </border>
    <border>
      <left style="thin">
        <color rgb="00C5D4CC"/>
      </left>
      <right style="thin">
        <color rgb="00C5D4CC"/>
      </right>
      <top style="thin">
        <color rgb="00C5D4CC"/>
      </top>
      <bottom style="thin">
        <color rgb="00C5D4CC"/>
      </bottom>
    </border>
    <border>
      <left/>
      <right/>
      <top style="thin">
        <color rgb="00C5D4CC"/>
      </top>
      <bottom/>
      <diagonal/>
    </border>
    <border>
      <left/>
      <right style="thin">
        <color rgb="00C5D4CC"/>
      </right>
      <top style="thin">
        <color rgb="00C5D4CC"/>
      </top>
      <bottom/>
      <diagonal/>
    </border>
    <border>
      <left/>
      <right/>
      <top style="thin">
        <color rgb="00C5D4CC"/>
      </top>
      <bottom style="thin">
        <color rgb="00C5D4CC"/>
      </bottom>
      <diagonal/>
    </border>
    <border>
      <left/>
      <right style="thin">
        <color rgb="00C5D4CC"/>
      </right>
      <top style="thin">
        <color rgb="00C5D4CC"/>
      </top>
      <bottom style="thin">
        <color rgb="00C5D4CC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4" borderId="1" pivotButton="0" quotePrefix="0" xfId="0"/>
    <xf numFmtId="4" fontId="4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4" fontId="7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4" borderId="1" pivotButton="0" quotePrefix="0" xfId="0"/>
    <xf numFmtId="4" fontId="7" fillId="5" borderId="1" pivotButton="0" quotePrefix="0" xfId="0"/>
    <xf numFmtId="0" fontId="0" fillId="0" borderId="1" pivotButton="0" quotePrefix="0" xfId="0"/>
    <xf numFmtId="165" fontId="0" fillId="4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0" fillId="0" borderId="1" applyAlignment="1" pivotButton="0" quotePrefix="0" xfId="0">
      <alignment horizontal="center" vertical="center" wrapText="1"/>
    </xf>
    <xf numFmtId="0" fontId="0" fillId="8" borderId="1" pivotButton="0" quotePrefix="0" xfId="0"/>
    <xf numFmtId="4" fontId="0" fillId="8" borderId="1" applyAlignment="1" pivotButton="0" quotePrefix="0" xfId="0">
      <alignment horizontal="center" vertical="center" wrapText="1"/>
    </xf>
    <xf numFmtId="0" fontId="0" fillId="3" borderId="1" pivotButton="0" quotePrefix="0" xfId="0"/>
    <xf numFmtId="4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Participação por escopo</a:t>
            </a:r>
          </a:p>
        </rich>
      </tx>
    </title>
    <plotArea>
      <pieChart>
        <varyColors val="1"/>
        <ser>
          <idx val="0"/>
          <order val="0"/>
          <tx>
            <strRef>
              <f>'Resumo'!B5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'Resumo'!$A$6:$A$8</f>
            </numRef>
          </cat>
          <val>
            <numRef>
              <f>'Resumo'!$B$6:$B$8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7A5A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2" customWidth="1" min="6" max="6"/>
  </cols>
  <sheetData>
    <row r="1" ht="28" customHeight="1">
      <c r="A1" s="1" t="inlineStr">
        <is>
          <t>Inventário de GEE — padrão GHG Protocol (fixture de teste Aeko)</t>
        </is>
      </c>
    </row>
    <row r="2" ht="48" customHeight="1">
      <c r="A2" s="2" t="inlineStr">
        <is>
          <t>Arquivo sintético no recorte do template GHG usado pelo Aether: Parte 1 (informações do inventário), Parte 2 (emissões de GEE), Parte 3 (emissões biogênicas), reduções e resumo. Pronto para upload no fluxo de análise de inventários.</t>
        </is>
      </c>
    </row>
    <row r="4">
      <c r="A4" s="3" t="inlineStr">
        <is>
          <t>Como usar</t>
        </is>
      </c>
    </row>
    <row r="5" ht="32" customHeight="1">
      <c r="A5" s="4" t="inlineStr">
        <is>
          <t>1. No widget/API de análise, envie este XLSX com o nome sugerido “Inventário Celulose Ponta Grossa 2025”.</t>
        </is>
      </c>
    </row>
    <row r="6" ht="32" customHeight="1">
      <c r="A6" s="4" t="inlineStr">
        <is>
          <t>2. O analisador espera o inventário como tabela (markdown depois da conversão). As abas Parte2 e Parte3 são o miolo.</t>
        </is>
      </c>
    </row>
    <row r="7" ht="32" customHeight="1">
      <c r="A7" s="4" t="inlineStr">
        <is>
          <t>3. Os nomes de escopo, categoria e gás batem com o catálogo seed do Aether (Scope 1/2/3, 12 categorias, 6 gases).</t>
        </is>
      </c>
    </row>
    <row r="8" ht="32" customHeight="1">
      <c r="A8" s="4" t="inlineStr">
        <is>
          <t>4. Há poluentes (CO2, CH4, N2O, HFCs) e gases verdes já em uso (biogás, I-REC), para exercitar os dois analistas depois do Análista de inventários.</t>
        </is>
      </c>
    </row>
    <row r="9" ht="32" customHeight="1">
      <c r="A9" s="4" t="inlineStr">
        <is>
          <t>5. Linhas em branco no fim das tabelas de emissão/redução podem ser preenchidas se quiser variar o teste.</t>
        </is>
      </c>
    </row>
    <row r="11">
      <c r="A11" s="3" t="inlineStr">
        <is>
          <t>Abas</t>
        </is>
      </c>
    </row>
    <row r="12" ht="28" customHeight="1">
      <c r="A12" s="5" t="inlineStr">
        <is>
          <t>Aba</t>
        </is>
      </c>
      <c r="B12" s="5" t="inlineStr">
        <is>
          <t>Conteúdo</t>
        </is>
      </c>
      <c r="C12" s="6" t="n"/>
      <c r="D12" s="6" t="n"/>
      <c r="E12" s="6" t="n"/>
      <c r="F12" s="7" t="n"/>
    </row>
    <row r="13">
      <c r="A13" s="8" t="inlineStr">
        <is>
          <t>Instrucoes</t>
        </is>
      </c>
      <c r="B13" s="9" t="inlineStr">
        <is>
          <t>Esta capa.</t>
        </is>
      </c>
    </row>
    <row r="14">
      <c r="A14" s="8" t="inlineStr">
        <is>
          <t>Parte1_Informacoes</t>
        </is>
      </c>
      <c r="B14" s="9" t="inlineStr">
        <is>
          <t>Metadados do inventário (descrição, período, consolidação).</t>
        </is>
      </c>
    </row>
    <row r="15">
      <c r="A15" s="8" t="inlineStr">
        <is>
          <t>Parte2_Emissoes</t>
        </is>
      </c>
      <c r="B15" s="9" t="inlineStr">
        <is>
          <t>Emissões antropogênicas em tCO2e — o que entra no total GEE.</t>
        </is>
      </c>
    </row>
    <row r="16">
      <c r="A16" s="8" t="inlineStr">
        <is>
          <t>Parte3_Biogenicas</t>
        </is>
      </c>
      <c r="B16" s="9" t="inlineStr">
        <is>
          <t>CO2 biogênico reportado à parte, como no GHG Protocol.</t>
        </is>
      </c>
    </row>
    <row r="17">
      <c r="A17" s="8" t="inlineStr">
        <is>
          <t>Reducoes</t>
        </is>
      </c>
      <c r="B17" s="9" t="inlineStr">
        <is>
          <t>Iniciativas já realizadas (is_reduction = true).</t>
        </is>
      </c>
    </row>
    <row r="18">
      <c r="A18" s="8" t="inlineStr">
        <is>
          <t>Resumo</t>
        </is>
      </c>
      <c r="B18" s="9" t="inlineStr">
        <is>
          <t>Totais por escopo, gás e categoria, com gráfico.</t>
        </is>
      </c>
    </row>
    <row r="19">
      <c r="A19" s="8" t="inlineStr">
        <is>
          <t>Catalogo</t>
        </is>
      </c>
      <c r="B19" s="9" t="inlineStr">
        <is>
          <t>Ids vigentes de gases, escopos e categorias no seed Aether.</t>
        </is>
      </c>
    </row>
    <row r="22">
      <c r="A22" s="3" t="inlineStr">
        <is>
          <t>Totais de conferência (não biogênicos)</t>
        </is>
      </c>
    </row>
    <row r="23" ht="28" customHeight="1">
      <c r="A23" s="5" t="inlineStr">
        <is>
          <t>Indicador</t>
        </is>
      </c>
      <c r="B23" s="5" t="inlineStr">
        <is>
          <t>tCO2e</t>
        </is>
      </c>
    </row>
    <row r="24">
      <c r="A24" s="10" t="inlineStr">
        <is>
          <t>Scope 1</t>
        </is>
      </c>
      <c r="B24" s="11" t="n">
        <v>1327</v>
      </c>
    </row>
    <row r="25">
      <c r="A25" s="10" t="inlineStr">
        <is>
          <t>Scope 2</t>
        </is>
      </c>
      <c r="B25" s="11" t="n">
        <v>2000</v>
      </c>
    </row>
    <row r="26">
      <c r="A26" s="10" t="inlineStr">
        <is>
          <t>Scope 3</t>
        </is>
      </c>
      <c r="B26" s="11" t="n">
        <v>4605</v>
      </c>
    </row>
    <row r="27">
      <c r="A27" s="12" t="inlineStr">
        <is>
          <t>Total GEE</t>
        </is>
      </c>
      <c r="B27" s="13" t="n">
        <v>7932</v>
      </c>
    </row>
    <row r="28">
      <c r="A28" s="10" t="inlineStr">
        <is>
          <t>CO2 biogênico (fora do total)</t>
        </is>
      </c>
      <c r="B28" s="11" t="n">
        <v>3690</v>
      </c>
    </row>
    <row r="29">
      <c r="A29" s="10" t="inlineStr">
        <is>
          <t>Reduções já realizadas</t>
        </is>
      </c>
      <c r="B29" s="11" t="n">
        <v>980</v>
      </c>
    </row>
  </sheetData>
  <mergeCells count="15">
    <mergeCell ref="A2:F2"/>
    <mergeCell ref="B12:F12"/>
    <mergeCell ref="B16:F16"/>
    <mergeCell ref="B15:F15"/>
    <mergeCell ref="A1:F1"/>
    <mergeCell ref="A5:F5"/>
    <mergeCell ref="A9:F9"/>
    <mergeCell ref="B17:F17"/>
    <mergeCell ref="A8:F8"/>
    <mergeCell ref="B19:F19"/>
    <mergeCell ref="A6:F6"/>
    <mergeCell ref="B14:F14"/>
    <mergeCell ref="B13:F13"/>
    <mergeCell ref="B18:F18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7A5A"/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Parte 1 — Informações gerais do inventário</t>
        </is>
      </c>
    </row>
    <row r="2">
      <c r="A2" s="14" t="inlineStr">
        <is>
          <t>Campos alinhados a inventory.description, inventorying_period_start/end e consolidation_approach.</t>
        </is>
      </c>
    </row>
    <row r="4" ht="28" customHeight="1">
      <c r="A4" s="5" t="inlineStr">
        <is>
          <t>Campo</t>
        </is>
      </c>
      <c r="B4" s="5" t="inlineStr">
        <is>
          <t>Valor</t>
        </is>
      </c>
      <c r="C4" s="6" t="n"/>
      <c r="D4" s="7" t="n"/>
    </row>
    <row r="5" ht="22" customHeight="1">
      <c r="A5" s="15" t="inlineStr">
        <is>
          <t>Nome do inventário</t>
        </is>
      </c>
      <c r="B5" s="9" t="inlineStr">
        <is>
          <t>Inventário Fábrica Ponta Grossa 2025</t>
        </is>
      </c>
      <c r="C5" s="6" t="n"/>
      <c r="D5" s="7" t="n"/>
    </row>
    <row r="6" ht="22" customHeight="1">
      <c r="A6" s="16" t="inlineStr">
        <is>
          <t>Descrição</t>
        </is>
      </c>
      <c r="B6" s="9" t="inlineStr">
        <is>
          <t>Inventário anual de emissões da unidade Fábrica Ponta Grossa</t>
        </is>
      </c>
      <c r="C6" s="6" t="n"/>
      <c r="D6" s="7" t="n"/>
    </row>
    <row r="7" ht="22" customHeight="1">
      <c r="A7" s="15" t="inlineStr">
        <is>
          <t>Organização</t>
        </is>
      </c>
      <c r="B7" s="9" t="inlineStr">
        <is>
          <t>Vale Circular Celulose S.A.</t>
        </is>
      </c>
      <c r="C7" s="6" t="n"/>
      <c r="D7" s="7" t="n"/>
    </row>
    <row r="8" ht="22" customHeight="1">
      <c r="A8" s="16" t="inlineStr">
        <is>
          <t>Unidade</t>
        </is>
      </c>
      <c r="B8" s="9" t="inlineStr">
        <is>
          <t>Fábrica Ponta Grossa</t>
        </is>
      </c>
      <c r="C8" s="6" t="n"/>
      <c r="D8" s="7" t="n"/>
    </row>
    <row r="9" ht="22" customHeight="1">
      <c r="A9" s="15" t="inlineStr">
        <is>
          <t>CNPJ da unidade</t>
        </is>
      </c>
      <c r="B9" s="9" t="inlineStr">
        <is>
          <t>11222333000144</t>
        </is>
      </c>
      <c r="C9" s="6" t="n"/>
      <c r="D9" s="7" t="n"/>
    </row>
    <row r="10" ht="22" customHeight="1">
      <c r="A10" s="16" t="inlineStr">
        <is>
          <t>Setor / CNAE</t>
        </is>
      </c>
      <c r="B10" s="9" t="inlineStr">
        <is>
          <t>Fabricação de celulose e outras pastas — 1710-9/00</t>
        </is>
      </c>
      <c r="C10" s="6" t="n"/>
      <c r="D10" s="7" t="n"/>
    </row>
    <row r="11" ht="22" customHeight="1">
      <c r="A11" s="15" t="inlineStr">
        <is>
          <t>Abordagem de consolidação</t>
        </is>
      </c>
      <c r="B11" s="9" t="inlineStr">
        <is>
          <t>Controle operacional</t>
        </is>
      </c>
      <c r="C11" s="6" t="n"/>
      <c r="D11" s="7" t="n"/>
    </row>
    <row r="12" ht="22" customHeight="1">
      <c r="A12" s="16" t="inlineStr">
        <is>
          <t>Norma / programa</t>
        </is>
      </c>
      <c r="B12" s="9" t="inlineStr">
        <is>
          <t>GHG Protocol Corporate Standard + Programa Brasileiro GHG Protocol</t>
        </is>
      </c>
      <c r="C12" s="6" t="n"/>
      <c r="D12" s="7" t="n"/>
    </row>
    <row r="13" ht="22" customHeight="1">
      <c r="A13" s="15" t="inlineStr">
        <is>
          <t>Ano de referência</t>
        </is>
      </c>
      <c r="B13" s="9" t="n">
        <v>2025</v>
      </c>
      <c r="C13" s="6" t="n"/>
      <c r="D13" s="7" t="n"/>
    </row>
    <row r="14" ht="22" customHeight="1">
      <c r="A14" s="16" t="inlineStr">
        <is>
          <t>Início do período</t>
        </is>
      </c>
      <c r="B14" s="9" t="inlineStr">
        <is>
          <t>2025-01-01</t>
        </is>
      </c>
      <c r="C14" s="6" t="n"/>
      <c r="D14" s="7" t="n"/>
    </row>
    <row r="15" ht="22" customHeight="1">
      <c r="A15" s="15" t="inlineStr">
        <is>
          <t>Fim do período</t>
        </is>
      </c>
      <c r="B15" s="9" t="inlineStr">
        <is>
          <t>2025-12-31</t>
        </is>
      </c>
      <c r="C15" s="6" t="n"/>
      <c r="D15" s="7" t="n"/>
    </row>
    <row r="16" ht="22" customHeight="1">
      <c r="A16" s="16" t="inlineStr">
        <is>
          <t>GWP utilizado</t>
        </is>
      </c>
      <c r="B16" s="9" t="inlineStr">
        <is>
          <t>AR5 (CO2=1, CH4=28, N2O=265, HFC-134a=1430)</t>
        </is>
      </c>
      <c r="C16" s="6" t="n"/>
      <c r="D16" s="7" t="n"/>
    </row>
    <row r="17" ht="22" customHeight="1">
      <c r="A17" s="15" t="inlineStr">
        <is>
          <t>Unidade das emissões</t>
        </is>
      </c>
      <c r="B17" s="9" t="inlineStr">
        <is>
          <t>tCO2e (tonelada métrica de CO2 equivalente)</t>
        </is>
      </c>
      <c r="C17" s="6" t="n"/>
      <c r="D17" s="7" t="n"/>
    </row>
    <row r="18" ht="22" customHeight="1">
      <c r="A18" s="16" t="inlineStr">
        <is>
          <t>Responsável técnico</t>
        </is>
      </c>
      <c r="B18" s="9" t="inlineStr">
        <is>
          <t>Responsável 10</t>
        </is>
      </c>
      <c r="C18" s="6" t="n"/>
      <c r="D18" s="7" t="n"/>
    </row>
    <row r="19" ht="22" customHeight="1">
      <c r="A19" s="15" t="inlineStr">
        <is>
          <t>Validador interno</t>
        </is>
      </c>
      <c r="B19" s="9" t="inlineStr">
        <is>
          <t>Responsável 09</t>
        </is>
      </c>
      <c r="C19" s="6" t="n"/>
      <c r="D19" s="7" t="n"/>
    </row>
    <row r="20" ht="22" customHeight="1">
      <c r="A20" s="16" t="inlineStr">
        <is>
          <t>Status no Aether</t>
        </is>
      </c>
      <c r="B20" s="9" t="inlineStr">
        <is>
          <t>INPUT / para análise</t>
        </is>
      </c>
      <c r="C20" s="6" t="n"/>
      <c r="D20" s="7" t="n"/>
    </row>
    <row r="21" ht="22" customHeight="1">
      <c r="A21" s="15" t="inlineStr">
        <is>
          <t>Gases verdes já em uso</t>
        </is>
      </c>
      <c r="B21" s="9" t="inlineStr">
        <is>
          <t>Biogás capturado na ETE (captura ~70%); I-REC eólico em 30% da eletricidade.</t>
        </is>
      </c>
      <c r="C21" s="6" t="n"/>
      <c r="D21" s="7" t="n"/>
    </row>
    <row r="22" ht="36" customHeight="1">
      <c r="A22" s="16" t="inlineStr">
        <is>
          <t>Limitações</t>
        </is>
      </c>
      <c r="B22" s="9" t="inlineStr">
        <is>
          <t>Escopo 3 sem 'Uso de produtos vendidos'. Dados de fornecedor incompletos nas linhas E-08, E-12 e E-14.</t>
        </is>
      </c>
      <c r="C22" s="6" t="n"/>
      <c r="D22" s="7" t="n"/>
    </row>
  </sheetData>
  <mergeCells count="21">
    <mergeCell ref="B11:D11"/>
    <mergeCell ref="B14:D14"/>
    <mergeCell ref="B8:D8"/>
    <mergeCell ref="B17:D17"/>
    <mergeCell ref="B13:D13"/>
    <mergeCell ref="B10:D10"/>
    <mergeCell ref="B19:D19"/>
    <mergeCell ref="B9:D9"/>
    <mergeCell ref="B15:D15"/>
    <mergeCell ref="B6:D6"/>
    <mergeCell ref="B20:D20"/>
    <mergeCell ref="A1:D1"/>
    <mergeCell ref="B5:D5"/>
    <mergeCell ref="B4:D4"/>
    <mergeCell ref="B7:D7"/>
    <mergeCell ref="B16:D16"/>
    <mergeCell ref="B22:D22"/>
    <mergeCell ref="B18:D18"/>
    <mergeCell ref="B21:D21"/>
    <mergeCell ref="A2:D2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7A5A"/>
    <outlinePr summaryBelow="1" summaryRight="1"/>
    <pageSetUpPr/>
  </sheetPr>
  <dimension ref="A1:M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2" customWidth="1" min="3" max="3"/>
    <col width="12" customWidth="1" min="4" max="4"/>
    <col width="34" customWidth="1" min="5" max="5"/>
    <col width="22" customWidth="1" min="6" max="6"/>
    <col width="28" customWidth="1" min="7" max="7"/>
    <col width="12" customWidth="1" min="8" max="8"/>
    <col width="18" customWidth="1" min="9" max="9"/>
    <col width="30" customWidth="1" min="10" max="10"/>
    <col width="22" customWidth="1" min="11" max="11"/>
    <col width="12" customWidth="1" min="12" max="12"/>
    <col width="48" customWidth="1" min="13" max="13"/>
  </cols>
  <sheetData>
    <row r="1">
      <c r="A1" s="1" t="inlineStr">
        <is>
          <t>Parte 2 — Emissões de GEE (antropogênicas)</t>
        </is>
      </c>
    </row>
    <row r="2" ht="36" customHeight="1">
      <c r="A2" s="14" t="inlineStr">
        <is>
          <t>Quantidade já em tCO2e. Cada linha vira um registro emission (is_reduction=false). Não invente ids: use somente os nomes do catálogo Aether.</t>
        </is>
      </c>
    </row>
    <row r="4" ht="28" customHeight="1">
      <c r="A4" s="17" t="inlineStr">
        <is>
          <t>ID da fonte</t>
        </is>
      </c>
      <c r="B4" s="17" t="inlineStr">
        <is>
          <t>Atividade / fonte de emissão</t>
        </is>
      </c>
      <c r="C4" s="17" t="inlineStr">
        <is>
          <t>Unidade operacional</t>
        </is>
      </c>
      <c r="D4" s="17" t="inlineStr">
        <is>
          <t>Escopo</t>
        </is>
      </c>
      <c r="E4" s="17" t="inlineStr">
        <is>
          <t>Categoria</t>
        </is>
      </c>
      <c r="F4" s="17" t="inlineStr">
        <is>
          <t>Classificação (Scope 3)</t>
        </is>
      </c>
      <c r="G4" s="17" t="inlineStr">
        <is>
          <t>Gás</t>
        </is>
      </c>
      <c r="H4" s="17" t="inlineStr">
        <is>
          <t>Fórmula</t>
        </is>
      </c>
      <c r="I4" s="17" t="inlineStr">
        <is>
          <t>Quantidade (tCO2e)</t>
        </is>
      </c>
      <c r="J4" s="17" t="inlineStr">
        <is>
          <t>Metodologia</t>
        </is>
      </c>
      <c r="K4" s="17" t="inlineStr">
        <is>
          <t>% dados do fornecedor</t>
        </is>
      </c>
      <c r="L4" s="17" t="inlineStr">
        <is>
          <t>Biogênico</t>
        </is>
      </c>
      <c r="M4" s="17" t="inlineStr">
        <is>
          <t>Observações</t>
        </is>
      </c>
    </row>
    <row r="5" ht="36" customHeight="1">
      <c r="A5" s="18" t="inlineStr">
        <is>
          <t>E-01</t>
        </is>
      </c>
      <c r="B5" s="19" t="inlineStr">
        <is>
          <t>Caldeira de vapor — combustão de gás natural</t>
        </is>
      </c>
      <c r="C5" s="18" t="inlineStr">
        <is>
          <t>Casa de força</t>
        </is>
      </c>
      <c r="D5" s="18" t="inlineStr">
        <is>
          <t>Scope 1</t>
        </is>
      </c>
      <c r="E5" s="18" t="inlineStr">
        <is>
          <t>Combustão estacionária</t>
        </is>
      </c>
      <c r="F5" s="18" t="n"/>
      <c r="G5" s="18" t="inlineStr">
        <is>
          <t>Dióxido de carbono</t>
        </is>
      </c>
      <c r="H5" s="18" t="inlineStr">
        <is>
          <t>CO2</t>
        </is>
      </c>
      <c r="I5" s="11" t="n">
        <v>600</v>
      </c>
      <c r="J5" s="18" t="inlineStr">
        <is>
          <t>GHG Protocol Brasil</t>
        </is>
      </c>
      <c r="K5" s="20" t="n">
        <v>92</v>
      </c>
      <c r="L5" s="18" t="inlineStr">
        <is>
          <t>Não</t>
        </is>
      </c>
      <c r="M5" s="19" t="inlineStr">
        <is>
          <t>Queimadores originais; sem substituição por gás verde.</t>
        </is>
      </c>
    </row>
    <row r="6" ht="36" customHeight="1">
      <c r="A6" s="21" t="inlineStr">
        <is>
          <t>E-02</t>
        </is>
      </c>
      <c r="B6" s="22" t="inlineStr">
        <is>
          <t>CH4 residual da digestão anaeróbica de efluentes</t>
        </is>
      </c>
      <c r="C6" s="21" t="inlineStr">
        <is>
          <t>ETE / biodigestor</t>
        </is>
      </c>
      <c r="D6" s="21" t="inlineStr">
        <is>
          <t>Scope 1</t>
        </is>
      </c>
      <c r="E6" s="21" t="inlineStr">
        <is>
          <t>Combustão estacionária</t>
        </is>
      </c>
      <c r="F6" s="21" t="n"/>
      <c r="G6" s="21" t="inlineStr">
        <is>
          <t>Metano</t>
        </is>
      </c>
      <c r="H6" s="21" t="inlineStr">
        <is>
          <t>CH4</t>
        </is>
      </c>
      <c r="I6" s="23" t="n">
        <v>450</v>
      </c>
      <c r="J6" s="21" t="inlineStr">
        <is>
          <t>Balanço de massa</t>
        </is>
      </c>
      <c r="K6" s="24" t="n">
        <v>78</v>
      </c>
      <c r="L6" s="21" t="inlineStr">
        <is>
          <t>Não</t>
        </is>
      </c>
      <c r="M6" s="22" t="inlineStr">
        <is>
          <t>Captura de biogás estimada em 70%. Os 30% restantes escapam como CH4.</t>
        </is>
      </c>
    </row>
    <row r="7" ht="36" customHeight="1">
      <c r="A7" s="18" t="inlineStr">
        <is>
          <t>E-03</t>
        </is>
      </c>
      <c r="B7" s="19" t="inlineStr">
        <is>
          <t>Vazamentos de HFC-134a no circuito de refrigeração</t>
        </is>
      </c>
      <c r="C7" s="18" t="inlineStr">
        <is>
          <t>Linha de branqueamento</t>
        </is>
      </c>
      <c r="D7" s="18" t="inlineStr">
        <is>
          <t>Scope 1</t>
        </is>
      </c>
      <c r="E7" s="18" t="inlineStr">
        <is>
          <t>Combustão estacionária</t>
        </is>
      </c>
      <c r="F7" s="18" t="n"/>
      <c r="G7" s="18" t="inlineStr">
        <is>
          <t>Hidrofluorcarbonetos</t>
        </is>
      </c>
      <c r="H7" s="18" t="inlineStr">
        <is>
          <t>HFCs</t>
        </is>
      </c>
      <c r="I7" s="11" t="n">
        <v>85</v>
      </c>
      <c r="J7" s="18" t="inlineStr">
        <is>
          <t>Fator de emissão do fornecedor</t>
        </is>
      </c>
      <c r="K7" s="20" t="n">
        <v>64</v>
      </c>
      <c r="L7" s="18" t="inlineStr">
        <is>
          <t>Não</t>
        </is>
      </c>
      <c r="M7" s="19" t="inlineStr">
        <is>
          <t>Dois vazamentos identificados em 2025. Sem sistema de captura.</t>
        </is>
      </c>
    </row>
    <row r="8" ht="36" customHeight="1">
      <c r="A8" s="21" t="inlineStr">
        <is>
          <t>E-04</t>
        </is>
      </c>
      <c r="B8" s="22" t="inlineStr">
        <is>
          <t>Frota própria de caminhões a diesel (pátio e mata)</t>
        </is>
      </c>
      <c r="C8" s="21" t="inlineStr">
        <is>
          <t>Logística interna</t>
        </is>
      </c>
      <c r="D8" s="21" t="inlineStr">
        <is>
          <t>Scope 1</t>
        </is>
      </c>
      <c r="E8" s="21" t="inlineStr">
        <is>
          <t>Combustão móvel</t>
        </is>
      </c>
      <c r="F8" s="21" t="n"/>
      <c r="G8" s="21" t="inlineStr">
        <is>
          <t>Dióxido de carbono</t>
        </is>
      </c>
      <c r="H8" s="21" t="inlineStr">
        <is>
          <t>CO2</t>
        </is>
      </c>
      <c r="I8" s="23" t="n">
        <v>180</v>
      </c>
      <c r="J8" s="21" t="inlineStr">
        <is>
          <t>GHG Protocol Brasil</t>
        </is>
      </c>
      <c r="K8" s="24" t="n">
        <v>88</v>
      </c>
      <c r="L8" s="21" t="inlineStr">
        <is>
          <t>Não</t>
        </is>
      </c>
      <c r="M8" s="22" t="inlineStr">
        <is>
          <t>18 caminhões; nenhum convertido para biometano.</t>
        </is>
      </c>
    </row>
    <row r="9" ht="36" customHeight="1">
      <c r="A9" s="18" t="inlineStr">
        <is>
          <t>E-05</t>
        </is>
      </c>
      <c r="B9" s="19" t="inlineStr">
        <is>
          <t>N2O da combustão da frota diesel</t>
        </is>
      </c>
      <c r="C9" s="18" t="inlineStr">
        <is>
          <t>Logística interna</t>
        </is>
      </c>
      <c r="D9" s="18" t="inlineStr">
        <is>
          <t>Scope 1</t>
        </is>
      </c>
      <c r="E9" s="18" t="inlineStr">
        <is>
          <t>Combustão móvel</t>
        </is>
      </c>
      <c r="F9" s="18" t="n"/>
      <c r="G9" s="18" t="inlineStr">
        <is>
          <t>Óxido nitroso</t>
        </is>
      </c>
      <c r="H9" s="18" t="inlineStr">
        <is>
          <t>N2O</t>
        </is>
      </c>
      <c r="I9" s="11" t="n">
        <v>12</v>
      </c>
      <c r="J9" s="18" t="inlineStr">
        <is>
          <t>GHG Protocol Brasil</t>
        </is>
      </c>
      <c r="K9" s="20" t="n">
        <v>88</v>
      </c>
      <c r="L9" s="18" t="inlineStr">
        <is>
          <t>Não</t>
        </is>
      </c>
      <c r="M9" s="19" t="inlineStr">
        <is>
          <t>Emissão residual da combustão móvel.</t>
        </is>
      </c>
    </row>
    <row r="10" ht="36" customHeight="1">
      <c r="A10" s="21" t="inlineStr">
        <is>
          <t>E-06</t>
        </is>
      </c>
      <c r="B10" s="22" t="inlineStr">
        <is>
          <t>Eletricidade comprada da rede (fator médio SIN)</t>
        </is>
      </c>
      <c r="C10" s="21" t="inlineStr">
        <is>
          <t>Planta inteira</t>
        </is>
      </c>
      <c r="D10" s="21" t="inlineStr">
        <is>
          <t>Scope 2</t>
        </is>
      </c>
      <c r="E10" s="21" t="inlineStr">
        <is>
          <t>Energia elétrica adquirida</t>
        </is>
      </c>
      <c r="F10" s="21" t="n"/>
      <c r="G10" s="21" t="inlineStr">
        <is>
          <t>Dióxido de carbono</t>
        </is>
      </c>
      <c r="H10" s="21" t="inlineStr">
        <is>
          <t>CO2</t>
        </is>
      </c>
      <c r="I10" s="23" t="n">
        <v>2000</v>
      </c>
      <c r="J10" s="21" t="inlineStr">
        <is>
          <t>Fator de emissão do fornecedor</t>
        </is>
      </c>
      <c r="K10" s="24" t="n">
        <v>100</v>
      </c>
      <c r="L10" s="21" t="inlineStr">
        <is>
          <t>Não</t>
        </is>
      </c>
      <c r="M10" s="22" t="inlineStr">
        <is>
          <t>30% já coberto por I-REC eólico. Os 70% restantes são grid.</t>
        </is>
      </c>
    </row>
    <row r="11" ht="36" customHeight="1">
      <c r="A11" s="18" t="inlineStr">
        <is>
          <t>E-07</t>
        </is>
      </c>
      <c r="B11" s="19" t="inlineStr">
        <is>
          <t>Insumos químicos e serviços contratados</t>
        </is>
      </c>
      <c r="C11" s="18" t="inlineStr">
        <is>
          <t>Compras</t>
        </is>
      </c>
      <c r="D11" s="18" t="inlineStr">
        <is>
          <t>Scope 3</t>
        </is>
      </c>
      <c r="E11" s="18" t="inlineStr">
        <is>
          <t>Bens e serviços adquiridos</t>
        </is>
      </c>
      <c r="F11" s="18" t="inlineStr">
        <is>
          <t>UPSTREAM</t>
        </is>
      </c>
      <c r="G11" s="18" t="inlineStr">
        <is>
          <t>Dióxido de carbono</t>
        </is>
      </c>
      <c r="H11" s="18" t="inlineStr">
        <is>
          <t>CO2</t>
        </is>
      </c>
      <c r="I11" s="11" t="n">
        <v>980</v>
      </c>
      <c r="J11" s="18" t="inlineStr">
        <is>
          <t>Fator de emissão do fornecedor</t>
        </is>
      </c>
      <c r="K11" s="20" t="n">
        <v>41</v>
      </c>
      <c r="L11" s="18" t="inlineStr">
        <is>
          <t>Não</t>
        </is>
      </c>
      <c r="M11" s="19" t="inlineStr">
        <is>
          <t>Dados primários parciais dos principais fornecedores de químicos.</t>
        </is>
      </c>
    </row>
    <row r="12" ht="36" customHeight="1">
      <c r="A12" s="21" t="inlineStr">
        <is>
          <t>E-08</t>
        </is>
      </c>
      <c r="B12" s="22" t="inlineStr">
        <is>
          <t>Capex de 2025 — reformadora da linha 2</t>
        </is>
      </c>
      <c r="C12" s="21" t="inlineStr">
        <is>
          <t>Engenharia</t>
        </is>
      </c>
      <c r="D12" s="21" t="inlineStr">
        <is>
          <t>Scope 3</t>
        </is>
      </c>
      <c r="E12" s="21" t="inlineStr">
        <is>
          <t>Bens de capital</t>
        </is>
      </c>
      <c r="F12" s="21" t="inlineStr">
        <is>
          <t>UPSTREAM</t>
        </is>
      </c>
      <c r="G12" s="21" t="inlineStr">
        <is>
          <t>Dióxido de carbono</t>
        </is>
      </c>
      <c r="H12" s="21" t="inlineStr">
        <is>
          <t>CO2</t>
        </is>
      </c>
      <c r="I12" s="23" t="n">
        <v>420</v>
      </c>
      <c r="J12" s="21" t="inlineStr">
        <is>
          <t>Estimativa por atividade</t>
        </is>
      </c>
      <c r="K12" s="24" t="n">
        <v>22</v>
      </c>
      <c r="L12" s="21" t="inlineStr">
        <is>
          <t>Não</t>
        </is>
      </c>
      <c r="M12" s="22" t="inlineStr">
        <is>
          <t>Embodied carbon do equipamento importado.</t>
        </is>
      </c>
    </row>
    <row r="13" ht="36" customHeight="1">
      <c r="A13" s="18" t="inlineStr">
        <is>
          <t>E-09</t>
        </is>
      </c>
      <c r="B13" s="19" t="inlineStr">
        <is>
          <t>Transporte de madeira de terceiros até a fábrica</t>
        </is>
      </c>
      <c r="C13" s="18" t="inlineStr">
        <is>
          <t>Suprimentos florestais</t>
        </is>
      </c>
      <c r="D13" s="18" t="inlineStr">
        <is>
          <t>Scope 3</t>
        </is>
      </c>
      <c r="E13" s="18" t="inlineStr">
        <is>
          <t>Transporte e distribuição upstream</t>
        </is>
      </c>
      <c r="F13" s="18" t="inlineStr">
        <is>
          <t>UPSTREAM</t>
        </is>
      </c>
      <c r="G13" s="18" t="inlineStr">
        <is>
          <t>Dióxido de carbono</t>
        </is>
      </c>
      <c r="H13" s="18" t="inlineStr">
        <is>
          <t>CO2</t>
        </is>
      </c>
      <c r="I13" s="11" t="n">
        <v>1800</v>
      </c>
      <c r="J13" s="18" t="inlineStr">
        <is>
          <t>Balanço de massa</t>
        </is>
      </c>
      <c r="K13" s="20" t="n">
        <v>54</v>
      </c>
      <c r="L13" s="18" t="inlineStr">
        <is>
          <t>Não</t>
        </is>
      </c>
      <c r="M13" s="19" t="inlineStr">
        <is>
          <t>Maior linha de Escopo 3. Frota de terceiros 100% diesel.</t>
        </is>
      </c>
    </row>
    <row r="14" ht="36" customHeight="1">
      <c r="A14" s="21" t="inlineStr">
        <is>
          <t>E-10</t>
        </is>
      </c>
      <c r="B14" s="22" t="inlineStr">
        <is>
          <t>CH4 de resíduos orgânicos enviados a aterro</t>
        </is>
      </c>
      <c r="C14" s="21" t="inlineStr">
        <is>
          <t>Gestão de resíduos</t>
        </is>
      </c>
      <c r="D14" s="21" t="inlineStr">
        <is>
          <t>Scope 3</t>
        </is>
      </c>
      <c r="E14" s="21" t="inlineStr">
        <is>
          <t>Resíduos gerados nas operações</t>
        </is>
      </c>
      <c r="F14" s="21" t="inlineStr">
        <is>
          <t>UPSTREAM</t>
        </is>
      </c>
      <c r="G14" s="21" t="inlineStr">
        <is>
          <t>Metano</t>
        </is>
      </c>
      <c r="H14" s="21" t="inlineStr">
        <is>
          <t>CH4</t>
        </is>
      </c>
      <c r="I14" s="23" t="n">
        <v>210</v>
      </c>
      <c r="J14" s="21" t="inlineStr">
        <is>
          <t>Fator de emissão do fornecedor</t>
        </is>
      </c>
      <c r="K14" s="24" t="n">
        <v>60</v>
      </c>
      <c r="L14" s="21" t="inlineStr">
        <is>
          <t>Não</t>
        </is>
      </c>
      <c r="M14" s="22" t="inlineStr">
        <is>
          <t>Lodo não aproveitado no biodigestor.</t>
        </is>
      </c>
    </row>
    <row r="15" ht="36" customHeight="1">
      <c r="A15" s="18" t="inlineStr">
        <is>
          <t>E-11</t>
        </is>
      </c>
      <c r="B15" s="19" t="inlineStr">
        <is>
          <t>Viagens a negócios (aéreo + hospedagem)</t>
        </is>
      </c>
      <c r="C15" s="18" t="inlineStr">
        <is>
          <t>Administrativo</t>
        </is>
      </c>
      <c r="D15" s="18" t="inlineStr">
        <is>
          <t>Scope 3</t>
        </is>
      </c>
      <c r="E15" s="18" t="inlineStr">
        <is>
          <t>Viagens a negócios</t>
        </is>
      </c>
      <c r="F15" s="18" t="inlineStr">
        <is>
          <t>UPSTREAM</t>
        </is>
      </c>
      <c r="G15" s="18" t="inlineStr">
        <is>
          <t>Dióxido de carbono</t>
        </is>
      </c>
      <c r="H15" s="18" t="inlineStr">
        <is>
          <t>CO2</t>
        </is>
      </c>
      <c r="I15" s="11" t="n">
        <v>45</v>
      </c>
      <c r="J15" s="18" t="inlineStr">
        <is>
          <t>GHG Protocol Brasil</t>
        </is>
      </c>
      <c r="K15" s="20" t="n">
        <v>70</v>
      </c>
      <c r="L15" s="18" t="inlineStr">
        <is>
          <t>Não</t>
        </is>
      </c>
      <c r="M15" s="19" t="n"/>
    </row>
    <row r="16" ht="36" customHeight="1">
      <c r="A16" s="21" t="inlineStr">
        <is>
          <t>E-12</t>
        </is>
      </c>
      <c r="B16" s="22" t="inlineStr">
        <is>
          <t>Deslocamento casa-trabalho dos turnos</t>
        </is>
      </c>
      <c r="C16" s="21" t="inlineStr">
        <is>
          <t>RH</t>
        </is>
      </c>
      <c r="D16" s="21" t="inlineStr">
        <is>
          <t>Scope 3</t>
        </is>
      </c>
      <c r="E16" s="21" t="inlineStr">
        <is>
          <t>Deslocamento de funcionários</t>
        </is>
      </c>
      <c r="F16" s="21" t="inlineStr">
        <is>
          <t>UPSTREAM</t>
        </is>
      </c>
      <c r="G16" s="21" t="inlineStr">
        <is>
          <t>Dióxido de carbono</t>
        </is>
      </c>
      <c r="H16" s="21" t="inlineStr">
        <is>
          <t>CO2</t>
        </is>
      </c>
      <c r="I16" s="23" t="n">
        <v>90</v>
      </c>
      <c r="J16" s="21" t="inlineStr">
        <is>
          <t>Estimativa por atividade</t>
        </is>
      </c>
      <c r="K16" s="24" t="n">
        <v>15</v>
      </c>
      <c r="L16" s="21" t="inlineStr">
        <is>
          <t>Não</t>
        </is>
      </c>
      <c r="M16" s="22" t="inlineStr">
        <is>
          <t>Pesquisa amostral com 18% de resposta.</t>
        </is>
      </c>
    </row>
    <row r="17" ht="36" customHeight="1">
      <c r="A17" s="18" t="inlineStr">
        <is>
          <t>E-13</t>
        </is>
      </c>
      <c r="B17" s="19" t="inlineStr">
        <is>
          <t>Distribuição de celulose até clientes</t>
        </is>
      </c>
      <c r="C17" s="18" t="inlineStr">
        <is>
          <t>Logística de saída</t>
        </is>
      </c>
      <c r="D17" s="18" t="inlineStr">
        <is>
          <t>Scope 3</t>
        </is>
      </c>
      <c r="E17" s="18" t="inlineStr">
        <is>
          <t>Transporte e distribuição downstream</t>
        </is>
      </c>
      <c r="F17" s="18" t="inlineStr">
        <is>
          <t>DOWNSTREAM</t>
        </is>
      </c>
      <c r="G17" s="18" t="inlineStr">
        <is>
          <t>Dióxido de carbono</t>
        </is>
      </c>
      <c r="H17" s="18" t="inlineStr">
        <is>
          <t>CO2</t>
        </is>
      </c>
      <c r="I17" s="11" t="n">
        <v>900</v>
      </c>
      <c r="J17" s="18" t="inlineStr">
        <is>
          <t>Fator de emissão do fornecedor</t>
        </is>
      </c>
      <c r="K17" s="20" t="n">
        <v>48</v>
      </c>
      <c r="L17" s="18" t="inlineStr">
        <is>
          <t>Não</t>
        </is>
      </c>
      <c r="M17" s="19" t="inlineStr">
        <is>
          <t>Rodoviário 80%, ferroviário 20%.</t>
        </is>
      </c>
    </row>
    <row r="18" ht="36" customHeight="1">
      <c r="A18" s="21" t="inlineStr">
        <is>
          <t>E-14</t>
        </is>
      </c>
      <c r="B18" s="22" t="inlineStr">
        <is>
          <t>Fim de vida de embalagens e aparas junto ao cliente</t>
        </is>
      </c>
      <c r="C18" s="21" t="inlineStr">
        <is>
          <t>Pós-venda</t>
        </is>
      </c>
      <c r="D18" s="21" t="inlineStr">
        <is>
          <t>Scope 3</t>
        </is>
      </c>
      <c r="E18" s="21" t="inlineStr">
        <is>
          <t>Tratamento de fim de vida</t>
        </is>
      </c>
      <c r="F18" s="21" t="inlineStr">
        <is>
          <t>DOWNSTREAM</t>
        </is>
      </c>
      <c r="G18" s="21" t="inlineStr">
        <is>
          <t>Dióxido de carbono</t>
        </is>
      </c>
      <c r="H18" s="21" t="inlineStr">
        <is>
          <t>CO2</t>
        </is>
      </c>
      <c r="I18" s="23" t="n">
        <v>160</v>
      </c>
      <c r="J18" s="21" t="inlineStr">
        <is>
          <t>Estimativa por atividade</t>
        </is>
      </c>
      <c r="K18" s="24" t="n">
        <v>12</v>
      </c>
      <c r="L18" s="21" t="inlineStr">
        <is>
          <t>Não</t>
        </is>
      </c>
      <c r="M18" s="22" t="n"/>
    </row>
    <row r="19">
      <c r="A19" s="12" t="inlineStr">
        <is>
          <t>TOTAL DA ABA</t>
        </is>
      </c>
      <c r="B19" s="25" t="n"/>
      <c r="C19" s="25" t="n"/>
      <c r="D19" s="25" t="n"/>
      <c r="E19" s="25" t="n"/>
      <c r="F19" s="25" t="n"/>
      <c r="G19" s="25" t="n"/>
      <c r="H19" s="25" t="n"/>
      <c r="I19" s="13">
        <f>SUM(I5:I18)</f>
        <v/>
      </c>
      <c r="J19" s="25" t="n"/>
      <c r="K19" s="25" t="n"/>
      <c r="L19" s="25" t="n"/>
      <c r="M19" s="25" t="n"/>
    </row>
    <row r="20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</row>
    <row r="21">
      <c r="A21" s="26" t="n"/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</row>
    <row r="22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</row>
    <row r="23">
      <c r="A23" s="26" t="n"/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</row>
    <row r="24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</row>
  </sheetData>
  <autoFilter ref="A4:M18"/>
  <mergeCells count="3">
    <mergeCell ref="A2:M2"/>
    <mergeCell ref="A19:H19"/>
    <mergeCell ref="A1:M1"/>
  </mergeCells>
  <dataValidations count="5">
    <dataValidation sqref="D5:D24" showDropDown="0" showInputMessage="0" showErrorMessage="0" allowBlank="1" errorTitle="Valor fora do catálogo" error="Use um valor do catálogo Aether." type="list">
      <formula1>=Escopos</formula1>
    </dataValidation>
    <dataValidation sqref="E5:E24" showDropDown="0" showInputMessage="0" showErrorMessage="0" allowBlank="1" errorTitle="Valor fora do catálogo" error="Use um valor do catálogo Aether." type="list">
      <formula1>=Categorias</formula1>
    </dataValidation>
    <dataValidation sqref="F5:F24" showDropDown="0" showInputMessage="0" showErrorMessage="0" allowBlank="1" errorTitle="Valor fora do catálogo" error="Use um valor do catálogo Aether." type="list">
      <formula1>=Classificacao</formula1>
    </dataValidation>
    <dataValidation sqref="G5:G24" showDropDown="0" showInputMessage="0" showErrorMessage="0" allowBlank="1" errorTitle="Valor fora do catálogo" error="Use um valor do catálogo Aether." type="list">
      <formula1>=Gases</formula1>
    </dataValidation>
    <dataValidation sqref="L5:L24" showDropDown="0" showInputMessage="0" showErrorMessage="0" allowBlank="1" errorTitle="Valor fora do catálogo" error="Use um valor do catálogo Aether." type="list">
      <formula1>=Biogenico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2" customWidth="1" min="3" max="3"/>
    <col width="12" customWidth="1" min="4" max="4"/>
    <col width="34" customWidth="1" min="5" max="5"/>
    <col width="22" customWidth="1" min="6" max="6"/>
    <col width="28" customWidth="1" min="7" max="7"/>
    <col width="12" customWidth="1" min="8" max="8"/>
    <col width="18" customWidth="1" min="9" max="9"/>
    <col width="30" customWidth="1" min="10" max="10"/>
    <col width="22" customWidth="1" min="11" max="11"/>
    <col width="12" customWidth="1" min="12" max="12"/>
    <col width="48" customWidth="1" min="13" max="13"/>
  </cols>
  <sheetData>
    <row r="1">
      <c r="A1" s="1" t="inlineStr">
        <is>
          <t>Parte 3 — Emissões biogênicas de CO2</t>
        </is>
      </c>
    </row>
    <row r="2" ht="36" customHeight="1">
      <c r="A2" s="14" t="inlineStr">
        <is>
          <t>Reportadas separadamente, como no GHG Protocol. Não somam no total de GEE da aba Resumo. gas.is_biogenic = true (CO2(b)).</t>
        </is>
      </c>
    </row>
    <row r="4" ht="28" customHeight="1">
      <c r="A4" s="17" t="inlineStr">
        <is>
          <t>ID da fonte</t>
        </is>
      </c>
      <c r="B4" s="17" t="inlineStr">
        <is>
          <t>Atividade / fonte de emissão</t>
        </is>
      </c>
      <c r="C4" s="17" t="inlineStr">
        <is>
          <t>Unidade operacional</t>
        </is>
      </c>
      <c r="D4" s="17" t="inlineStr">
        <is>
          <t>Escopo</t>
        </is>
      </c>
      <c r="E4" s="17" t="inlineStr">
        <is>
          <t>Categoria</t>
        </is>
      </c>
      <c r="F4" s="17" t="inlineStr">
        <is>
          <t>Classificação (Scope 3)</t>
        </is>
      </c>
      <c r="G4" s="17" t="inlineStr">
        <is>
          <t>Gás</t>
        </is>
      </c>
      <c r="H4" s="17" t="inlineStr">
        <is>
          <t>Fórmula</t>
        </is>
      </c>
      <c r="I4" s="17" t="inlineStr">
        <is>
          <t>Quantidade (tCO2e)</t>
        </is>
      </c>
      <c r="J4" s="17" t="inlineStr">
        <is>
          <t>Metodologia</t>
        </is>
      </c>
      <c r="K4" s="17" t="inlineStr">
        <is>
          <t>% dados do fornecedor</t>
        </is>
      </c>
      <c r="L4" s="17" t="inlineStr">
        <is>
          <t>Biogênico</t>
        </is>
      </c>
      <c r="M4" s="17" t="inlineStr">
        <is>
          <t>Observações</t>
        </is>
      </c>
    </row>
    <row r="5" ht="36" customHeight="1">
      <c r="A5" s="18" t="inlineStr">
        <is>
          <t>B-01</t>
        </is>
      </c>
      <c r="B5" s="19" t="inlineStr">
        <is>
          <t>Caldeira de biomassa — casca e licor negro</t>
        </is>
      </c>
      <c r="C5" s="18" t="inlineStr">
        <is>
          <t>Casa de força</t>
        </is>
      </c>
      <c r="D5" s="18" t="inlineStr">
        <is>
          <t>Scope 1</t>
        </is>
      </c>
      <c r="E5" s="18" t="inlineStr">
        <is>
          <t>Combustão estacionária</t>
        </is>
      </c>
      <c r="F5" s="18" t="n"/>
      <c r="G5" s="18" t="inlineStr">
        <is>
          <t>Dióxido de carbono biogênico</t>
        </is>
      </c>
      <c r="H5" s="18" t="inlineStr">
        <is>
          <t>CO2(b)</t>
        </is>
      </c>
      <c r="I5" s="11" t="n">
        <v>3500</v>
      </c>
      <c r="J5" s="18" t="inlineStr">
        <is>
          <t>Balanço de massa</t>
        </is>
      </c>
      <c r="K5" s="20" t="n">
        <v>96</v>
      </c>
      <c r="L5" s="18" t="inlineStr">
        <is>
          <t>Sim</t>
        </is>
      </c>
      <c r="M5" s="19" t="inlineStr">
        <is>
          <t>Floresta plantada com manejo FSC. Reportar fora do total de GEE, conforme GHG Protocol.</t>
        </is>
      </c>
    </row>
    <row r="6" ht="36" customHeight="1">
      <c r="A6" s="21" t="inlineStr">
        <is>
          <t>B-02</t>
        </is>
      </c>
      <c r="B6" s="22" t="inlineStr">
        <is>
          <t>Biogás capturado queimado na caldeira auxiliar</t>
        </is>
      </c>
      <c r="C6" s="21" t="inlineStr">
        <is>
          <t>ETE / biodigestor</t>
        </is>
      </c>
      <c r="D6" s="21" t="inlineStr">
        <is>
          <t>Scope 1</t>
        </is>
      </c>
      <c r="E6" s="21" t="inlineStr">
        <is>
          <t>Combustão estacionária</t>
        </is>
      </c>
      <c r="F6" s="21" t="n"/>
      <c r="G6" s="21" t="inlineStr">
        <is>
          <t>Dióxido de carbono biogênico</t>
        </is>
      </c>
      <c r="H6" s="21" t="inlineStr">
        <is>
          <t>CO2(b)</t>
        </is>
      </c>
      <c r="I6" s="23" t="n">
        <v>190</v>
      </c>
      <c r="J6" s="21" t="inlineStr">
        <is>
          <t>Balanço de massa</t>
        </is>
      </c>
      <c r="K6" s="24" t="n">
        <v>82</v>
      </c>
      <c r="L6" s="21" t="inlineStr">
        <is>
          <t>Sim</t>
        </is>
      </c>
      <c r="M6" s="22" t="inlineStr">
        <is>
          <t>Gás verde já em uso. A captura incompleta gera o CH4 da linha E-02.</t>
        </is>
      </c>
    </row>
    <row r="7">
      <c r="A7" s="12" t="inlineStr">
        <is>
          <t>TOTAL DA ABA</t>
        </is>
      </c>
      <c r="B7" s="25" t="n"/>
      <c r="C7" s="25" t="n"/>
      <c r="D7" s="25" t="n"/>
      <c r="E7" s="25" t="n"/>
      <c r="F7" s="25" t="n"/>
      <c r="G7" s="25" t="n"/>
      <c r="H7" s="25" t="n"/>
      <c r="I7" s="13">
        <f>SUM(I5:I6)</f>
        <v/>
      </c>
      <c r="J7" s="25" t="n"/>
      <c r="K7" s="25" t="n"/>
      <c r="L7" s="25" t="n"/>
      <c r="M7" s="25" t="n"/>
    </row>
    <row r="8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  <c r="M8" s="26" t="n"/>
    </row>
    <row r="9">
      <c r="A9" s="26" t="n"/>
      <c r="B9" s="26" t="n"/>
      <c r="C9" s="26" t="n"/>
      <c r="D9" s="26" t="n"/>
      <c r="E9" s="26" t="n"/>
      <c r="F9" s="26" t="n"/>
      <c r="G9" s="26" t="n"/>
      <c r="H9" s="26" t="n"/>
      <c r="I9" s="26" t="n"/>
      <c r="J9" s="26" t="n"/>
      <c r="K9" s="26" t="n"/>
      <c r="L9" s="26" t="n"/>
      <c r="M9" s="26" t="n"/>
    </row>
    <row r="10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</row>
    <row r="11">
      <c r="A11" s="26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</row>
    <row r="12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</row>
  </sheetData>
  <autoFilter ref="A4:M6"/>
  <mergeCells count="3">
    <mergeCell ref="A7:H7"/>
    <mergeCell ref="A2:M2"/>
    <mergeCell ref="A1:M1"/>
  </mergeCells>
  <dataValidations count="5">
    <dataValidation sqref="D5:D12" showDropDown="0" showInputMessage="0" showErrorMessage="0" allowBlank="1" errorTitle="Valor fora do catálogo" error="Use um valor do catálogo Aether." type="list">
      <formula1>=Escopos</formula1>
    </dataValidation>
    <dataValidation sqref="E5:E12" showDropDown="0" showInputMessage="0" showErrorMessage="0" allowBlank="1" errorTitle="Valor fora do catálogo" error="Use um valor do catálogo Aether." type="list">
      <formula1>=Categorias</formula1>
    </dataValidation>
    <dataValidation sqref="F5:F12" showDropDown="0" showInputMessage="0" showErrorMessage="0" allowBlank="1" errorTitle="Valor fora do catálogo" error="Use um valor do catálogo Aether." type="list">
      <formula1>=Classificacao</formula1>
    </dataValidation>
    <dataValidation sqref="G5:G12" showDropDown="0" showInputMessage="0" showErrorMessage="0" allowBlank="1" errorTitle="Valor fora do catálogo" error="Use um valor do catálogo Aether." type="list">
      <formula1>=Gases</formula1>
    </dataValidation>
    <dataValidation sqref="L5:L12" showDropDown="0" showInputMessage="0" showErrorMessage="0" allowBlank="1" errorTitle="Valor fora do catálogo" error="Use um valor do catálogo Aether." type="list">
      <formula1>=Biogenico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B6CB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36" customWidth="1" min="3" max="3"/>
    <col width="22" customWidth="1" min="4" max="4"/>
    <col width="56" customWidth="1" min="5" max="5"/>
  </cols>
  <sheetData>
    <row r="1">
      <c r="A1" s="1" t="inlineStr">
        <is>
          <t>Reduções de emissões já realizadas</t>
        </is>
      </c>
    </row>
    <row r="2" ht="36" customHeight="1">
      <c r="A2" s="14" t="inlineStr">
        <is>
          <t>Cada linha vira um registro reduction (is_reduction=true): preencher quantity_co2e e category; gas, scope, methodology e supplier_data_percentage ficam nulos.</t>
        </is>
      </c>
    </row>
    <row r="4" ht="28" customHeight="1">
      <c r="A4" s="5" t="inlineStr">
        <is>
          <t>ID</t>
        </is>
      </c>
      <c r="B4" s="5" t="inlineStr">
        <is>
          <t>Iniciativa</t>
        </is>
      </c>
      <c r="C4" s="5" t="inlineStr">
        <is>
          <t>Categoria</t>
        </is>
      </c>
      <c r="D4" s="5" t="inlineStr">
        <is>
          <t>Quantidade reduzida (tCO2e)</t>
        </is>
      </c>
      <c r="E4" s="5" t="inlineStr">
        <is>
          <t>Notas</t>
        </is>
      </c>
    </row>
    <row r="5" ht="32" customHeight="1">
      <c r="A5" s="18" t="inlineStr">
        <is>
          <t>R-01</t>
        </is>
      </c>
      <c r="B5" s="19" t="inlineStr">
        <is>
          <t>Contrato I-REC eólico cobrindo 30% da eletricidade</t>
        </is>
      </c>
      <c r="C5" s="18" t="inlineStr">
        <is>
          <t>Energia elétrica adquirida</t>
        </is>
      </c>
      <c r="D5" s="11" t="n">
        <v>420</v>
      </c>
      <c r="E5" s="19" t="inlineStr">
        <is>
          <t>Redução de Escopo 2 já realizada em 2025.</t>
        </is>
      </c>
    </row>
    <row r="6" ht="32" customHeight="1">
      <c r="A6" s="21" t="inlineStr">
        <is>
          <t>R-02</t>
        </is>
      </c>
      <c r="B6" s="22" t="inlineStr">
        <is>
          <t>Otimização de rotas da madeira de terceiros</t>
        </is>
      </c>
      <c r="C6" s="21" t="inlineStr">
        <is>
          <t>Transporte e distribuição upstream</t>
        </is>
      </c>
      <c r="D6" s="23" t="n">
        <v>180</v>
      </c>
      <c r="E6" s="22" t="inlineStr">
        <is>
          <t>Consolidação de cargas; frota ainda diesel.</t>
        </is>
      </c>
    </row>
    <row r="7" ht="32" customHeight="1">
      <c r="A7" s="18" t="inlineStr">
        <is>
          <t>R-03</t>
        </is>
      </c>
      <c r="B7" s="19" t="inlineStr">
        <is>
          <t>Substituição parcial de gás natural por biogás capturado</t>
        </is>
      </c>
      <c r="C7" s="18" t="inlineStr">
        <is>
          <t>Combustão estacionária</t>
        </is>
      </c>
      <c r="D7" s="11" t="n">
        <v>380</v>
      </c>
      <c r="E7" s="19" t="inlineStr">
        <is>
          <t>Gás verde já implementado. Potencial de captura adicional ~30%.</t>
        </is>
      </c>
    </row>
    <row r="8">
      <c r="A8" s="12" t="inlineStr">
        <is>
          <t>TOTAL REDUZIDO</t>
        </is>
      </c>
      <c r="B8" s="25" t="n"/>
      <c r="C8" s="25" t="n"/>
      <c r="D8" s="27">
        <f>SUM(D5:D7)</f>
        <v/>
      </c>
      <c r="E8" s="25" t="n"/>
    </row>
    <row r="9">
      <c r="A9" s="28" t="n"/>
      <c r="B9" s="28" t="n"/>
      <c r="C9" s="28" t="n"/>
      <c r="D9" s="28" t="n"/>
      <c r="E9" s="28" t="n"/>
    </row>
    <row r="10">
      <c r="A10" s="28" t="n"/>
      <c r="B10" s="28" t="n"/>
      <c r="C10" s="28" t="n"/>
      <c r="D10" s="28" t="n"/>
      <c r="E10" s="28" t="n"/>
    </row>
    <row r="11">
      <c r="A11" s="28" t="n"/>
      <c r="B11" s="28" t="n"/>
      <c r="C11" s="28" t="n"/>
      <c r="D11" s="28" t="n"/>
      <c r="E11" s="28" t="n"/>
    </row>
    <row r="12">
      <c r="A12" s="28" t="n"/>
      <c r="B12" s="28" t="n"/>
      <c r="C12" s="28" t="n"/>
      <c r="D12" s="28" t="n"/>
      <c r="E12" s="28" t="n"/>
    </row>
  </sheetData>
  <mergeCells count="3">
    <mergeCell ref="A2:E2"/>
    <mergeCell ref="A1:E1"/>
    <mergeCell ref="A8:C8"/>
  </mergeCells>
  <dataValidations count="1">
    <dataValidation sqref="C5:C12" showDropDown="0" showInputMessage="0" showErrorMessage="0" allowBlank="1" errorTitle="Valor fora do catálogo" error="Use um valor do catálogo Aether." type="list">
      <formula1>=Categorias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45C44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Resumo consolidado — Inventário Fábrica Ponta Grossa 2025</t>
        </is>
      </c>
    </row>
    <row r="2">
      <c r="A2" s="14" t="inlineStr">
        <is>
          <t>Totais calculados a partir das abas Parte2, Parte3 e Reducoes. CO2 biogênico fica fora do total GEE.</t>
        </is>
      </c>
    </row>
    <row r="4">
      <c r="A4" s="3" t="inlineStr">
        <is>
          <t>Por escopo (GEE antropogênico)</t>
        </is>
      </c>
    </row>
    <row r="5" ht="28" customHeight="1">
      <c r="A5" s="5" t="inlineStr">
        <is>
          <t>Escopo</t>
        </is>
      </c>
      <c r="B5" s="5" t="inlineStr">
        <is>
          <t>tCO2e</t>
        </is>
      </c>
      <c r="C5" s="5" t="inlineStr">
        <is>
          <t>% do total</t>
        </is>
      </c>
    </row>
    <row r="6">
      <c r="A6" s="10" t="inlineStr">
        <is>
          <t>Scope 1</t>
        </is>
      </c>
      <c r="B6" s="11">
        <f>SUMIF(Parte2_Emissoes!D:D,"Scope 1",Parte2_Emissoes!I:I)</f>
        <v/>
      </c>
      <c r="C6" s="29">
        <f>IF($B$9=0,0,B6/$B$9)</f>
        <v/>
      </c>
    </row>
    <row r="7">
      <c r="A7" s="10" t="inlineStr">
        <is>
          <t>Scope 2</t>
        </is>
      </c>
      <c r="B7" s="11">
        <f>SUMIF(Parte2_Emissoes!D:D,"Scope 2",Parte2_Emissoes!I:I)</f>
        <v/>
      </c>
      <c r="C7" s="29">
        <f>IF($B$9=0,0,B7/$B$9)</f>
        <v/>
      </c>
    </row>
    <row r="8">
      <c r="A8" s="10" t="inlineStr">
        <is>
          <t>Scope 3</t>
        </is>
      </c>
      <c r="B8" s="11">
        <f>SUMIF(Parte2_Emissoes!D:D,"Scope 3",Parte2_Emissoes!I:I)</f>
        <v/>
      </c>
      <c r="C8" s="29">
        <f>IF($B$9=0,0,B8/$B$9)</f>
        <v/>
      </c>
    </row>
    <row r="9">
      <c r="A9" s="12" t="inlineStr">
        <is>
          <t>Total GEE</t>
        </is>
      </c>
      <c r="B9" s="13">
        <f>SUM(B6:B8)</f>
        <v/>
      </c>
      <c r="C9" s="30">
        <f>1</f>
        <v/>
      </c>
    </row>
    <row r="11">
      <c r="A11" s="3" t="inlineStr">
        <is>
          <t>Por gás (Parte 2)</t>
        </is>
      </c>
    </row>
    <row r="12" ht="28" customHeight="1">
      <c r="A12" s="5" t="inlineStr">
        <is>
          <t>Gás</t>
        </is>
      </c>
      <c r="B12" s="5" t="inlineStr">
        <is>
          <t>tCO2e</t>
        </is>
      </c>
    </row>
    <row r="13">
      <c r="A13" s="31" t="inlineStr">
        <is>
          <t>Dióxido de carbono</t>
        </is>
      </c>
      <c r="B13" s="32">
        <f>SUMIF(Parte2_Emissoes!G:G,A13,Parte2_Emissoes!I:I)</f>
        <v/>
      </c>
    </row>
    <row r="14">
      <c r="A14" s="31" t="inlineStr">
        <is>
          <t>Metano</t>
        </is>
      </c>
      <c r="B14" s="32">
        <f>SUMIF(Parte2_Emissoes!G:G,A14,Parte2_Emissoes!I:I)</f>
        <v/>
      </c>
    </row>
    <row r="15">
      <c r="A15" s="31" t="inlineStr">
        <is>
          <t>Óxido nitroso</t>
        </is>
      </c>
      <c r="B15" s="32">
        <f>SUMIF(Parte2_Emissoes!G:G,A15,Parte2_Emissoes!I:I)</f>
        <v/>
      </c>
    </row>
    <row r="16">
      <c r="A16" s="31" t="inlineStr">
        <is>
          <t>Hidrofluorcarbonetos</t>
        </is>
      </c>
      <c r="B16" s="32">
        <f>SUMIF(Parte2_Emissoes!G:G,A16,Parte2_Emissoes!I:I)</f>
        <v/>
      </c>
    </row>
    <row r="17">
      <c r="A17" s="31" t="inlineStr">
        <is>
          <t>Hexafluoreto de enxofre</t>
        </is>
      </c>
      <c r="B17" s="32">
        <f>SUMIF(Parte2_Emissoes!G:G,A17,Parte2_Emissoes!I:I)</f>
        <v/>
      </c>
    </row>
    <row r="19">
      <c r="A19" s="3" t="inlineStr">
        <is>
          <t>Fora do total GEE / já evitado</t>
        </is>
      </c>
    </row>
    <row r="20" ht="28" customHeight="1">
      <c r="A20" s="5" t="inlineStr">
        <is>
          <t>Indicador</t>
        </is>
      </c>
      <c r="B20" s="5" t="inlineStr">
        <is>
          <t>tCO2e</t>
        </is>
      </c>
    </row>
    <row r="21">
      <c r="A21" s="33" t="inlineStr">
        <is>
          <t>CO2 biogênico (Parte 3)</t>
        </is>
      </c>
      <c r="B21" s="34">
        <f>SUM(Parte3_Biogenicas!I5:I50)</f>
        <v/>
      </c>
    </row>
    <row r="22">
      <c r="A22" s="35" t="inlineStr">
        <is>
          <t>Reduções já realizadas</t>
        </is>
      </c>
      <c r="B22" s="36">
        <f>SUM(Reducoes!D5:D50)</f>
        <v/>
      </c>
    </row>
    <row r="24">
      <c r="A24" s="3" t="inlineStr">
        <is>
          <t>Pontos que o fluxo de análise deve enxergar</t>
        </is>
      </c>
    </row>
    <row r="25" ht="28" customHeight="1">
      <c r="A25" s="4" t="inlineStr">
        <is>
          <t>• Maior fonte: Escopo 2 (eletricidade, 2.000 tCO2e) + Escopo 3 transporte upstream (1.800 tCO2e).</t>
        </is>
      </c>
    </row>
    <row r="26" ht="28" customHeight="1">
      <c r="A26" s="4" t="inlineStr">
        <is>
          <t>• CH4 residual de 450 tCO2e indica captura incompleta de biogás — oportunidade clara de gás verde.</t>
        </is>
      </c>
    </row>
    <row r="27" ht="28" customHeight="1">
      <c r="A27" s="4" t="inlineStr">
        <is>
          <t>• HFCs (85 tCO2e) e diesel da frota (192 tCO2e) são poluentes pontuais para o Analista de Poluentes.</t>
        </is>
      </c>
    </row>
    <row r="28" ht="28" customHeight="1">
      <c r="A28" s="4" t="inlineStr">
        <is>
          <t>• Já há biogás e I-REC: o Analista de Gases Verdes deve validar efetividade e o gap de captura.</t>
        </is>
      </c>
    </row>
    <row r="29" ht="28" customHeight="1">
      <c r="A29" s="4" t="inlineStr">
        <is>
          <t>• Reduções (980 tCO2e) não zeram o problema; o coordenador deve propor próximo passo com ROI.</t>
        </is>
      </c>
    </row>
  </sheetData>
  <mergeCells count="7">
    <mergeCell ref="A27:D27"/>
    <mergeCell ref="A1:C1"/>
    <mergeCell ref="A26:D26"/>
    <mergeCell ref="A29:D29"/>
    <mergeCell ref="A25:D25"/>
    <mergeCell ref="A28:D28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5B6570"/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Catálogos auxiliares vigentes (seed Aether)</t>
        </is>
      </c>
    </row>
    <row r="2">
      <c r="A2" s="14" t="inlineStr">
        <is>
          <t>Use somente estes ids/nomes na extração estruturada. classification nula fora de Scope 3.</t>
        </is>
      </c>
    </row>
    <row r="4">
      <c r="A4" s="3" t="inlineStr">
        <is>
          <t>Escopos</t>
        </is>
      </c>
      <c r="E4" s="3" t="inlineStr">
        <is>
          <t>Listas de apoio</t>
        </is>
      </c>
    </row>
    <row r="5" ht="28" customHeight="1">
      <c r="A5" s="5" t="inlineStr">
        <is>
          <t>id</t>
        </is>
      </c>
      <c r="B5" s="5" t="inlineStr">
        <is>
          <t>name</t>
        </is>
      </c>
      <c r="E5" s="37" t="inlineStr">
        <is>
          <t>Sim</t>
        </is>
      </c>
      <c r="F5" s="37" t="inlineStr">
        <is>
          <t>UPSTREAM</t>
        </is>
      </c>
    </row>
    <row r="6">
      <c r="A6" s="37" t="n">
        <v>1</v>
      </c>
      <c r="B6" s="28" t="inlineStr">
        <is>
          <t>Scope 1</t>
        </is>
      </c>
      <c r="E6" s="37" t="inlineStr">
        <is>
          <t>Não</t>
        </is>
      </c>
      <c r="F6" s="37" t="inlineStr">
        <is>
          <t>DOWNSTREAM</t>
        </is>
      </c>
    </row>
    <row r="7">
      <c r="A7" s="37" t="n">
        <v>2</v>
      </c>
      <c r="B7" s="28" t="inlineStr">
        <is>
          <t>Scope 2</t>
        </is>
      </c>
    </row>
    <row r="8">
      <c r="A8" s="37" t="n">
        <v>3</v>
      </c>
      <c r="B8" s="28" t="inlineStr">
        <is>
          <t>Scope 3</t>
        </is>
      </c>
    </row>
    <row r="10">
      <c r="A10" s="3" t="inlineStr">
        <is>
          <t>Categorias</t>
        </is>
      </c>
    </row>
    <row r="11" ht="28" customHeight="1">
      <c r="A11" s="5" t="inlineStr">
        <is>
          <t>id</t>
        </is>
      </c>
      <c r="B11" s="5" t="inlineStr">
        <is>
          <t>name</t>
        </is>
      </c>
      <c r="C11" s="5" t="inlineStr">
        <is>
          <t>classification</t>
        </is>
      </c>
    </row>
    <row r="12">
      <c r="A12" s="37" t="n">
        <v>1</v>
      </c>
      <c r="B12" s="28" t="inlineStr">
        <is>
          <t>Combustão estacionária</t>
        </is>
      </c>
      <c r="C12" s="37" t="n"/>
    </row>
    <row r="13">
      <c r="A13" s="37" t="n">
        <v>2</v>
      </c>
      <c r="B13" s="28" t="inlineStr">
        <is>
          <t>Combustão móvel</t>
        </is>
      </c>
      <c r="C13" s="37" t="n"/>
    </row>
    <row r="14">
      <c r="A14" s="37" t="n">
        <v>3</v>
      </c>
      <c r="B14" s="28" t="inlineStr">
        <is>
          <t>Energia elétrica adquirida</t>
        </is>
      </c>
      <c r="C14" s="37" t="n"/>
    </row>
    <row r="15">
      <c r="A15" s="37" t="n">
        <v>4</v>
      </c>
      <c r="B15" s="28" t="inlineStr">
        <is>
          <t>Bens e serviços adquiridos</t>
        </is>
      </c>
      <c r="C15" s="38" t="inlineStr">
        <is>
          <t>UPSTREAM</t>
        </is>
      </c>
    </row>
    <row r="16">
      <c r="A16" s="37" t="n">
        <v>5</v>
      </c>
      <c r="B16" s="28" t="inlineStr">
        <is>
          <t>Bens de capital</t>
        </is>
      </c>
      <c r="C16" s="38" t="inlineStr">
        <is>
          <t>UPSTREAM</t>
        </is>
      </c>
    </row>
    <row r="17">
      <c r="A17" s="37" t="n">
        <v>6</v>
      </c>
      <c r="B17" s="28" t="inlineStr">
        <is>
          <t>Transporte e distribuição upstream</t>
        </is>
      </c>
      <c r="C17" s="38" t="inlineStr">
        <is>
          <t>UPSTREAM</t>
        </is>
      </c>
    </row>
    <row r="18">
      <c r="A18" s="37" t="n">
        <v>7</v>
      </c>
      <c r="B18" s="28" t="inlineStr">
        <is>
          <t>Resíduos gerados nas operações</t>
        </is>
      </c>
      <c r="C18" s="38" t="inlineStr">
        <is>
          <t>UPSTREAM</t>
        </is>
      </c>
    </row>
    <row r="19">
      <c r="A19" s="37" t="n">
        <v>8</v>
      </c>
      <c r="B19" s="28" t="inlineStr">
        <is>
          <t>Viagens a negócios</t>
        </is>
      </c>
      <c r="C19" s="38" t="inlineStr">
        <is>
          <t>UPSTREAM</t>
        </is>
      </c>
    </row>
    <row r="20">
      <c r="A20" s="37" t="n">
        <v>9</v>
      </c>
      <c r="B20" s="28" t="inlineStr">
        <is>
          <t>Deslocamento de funcionários</t>
        </is>
      </c>
      <c r="C20" s="38" t="inlineStr">
        <is>
          <t>UPSTREAM</t>
        </is>
      </c>
    </row>
    <row r="21">
      <c r="A21" s="37" t="n">
        <v>10</v>
      </c>
      <c r="B21" s="28" t="inlineStr">
        <is>
          <t>Transporte e distribuição downstream</t>
        </is>
      </c>
      <c r="C21" s="39" t="inlineStr">
        <is>
          <t>DOWNSTREAM</t>
        </is>
      </c>
    </row>
    <row r="22">
      <c r="A22" s="37" t="n">
        <v>11</v>
      </c>
      <c r="B22" s="28" t="inlineStr">
        <is>
          <t>Uso de produtos vendidos</t>
        </is>
      </c>
      <c r="C22" s="39" t="inlineStr">
        <is>
          <t>DOWNSTREAM</t>
        </is>
      </c>
    </row>
    <row r="23">
      <c r="A23" s="37" t="n">
        <v>12</v>
      </c>
      <c r="B23" s="28" t="inlineStr">
        <is>
          <t>Tratamento de fim de vida</t>
        </is>
      </c>
      <c r="C23" s="39" t="inlineStr">
        <is>
          <t>DOWNSTREAM</t>
        </is>
      </c>
    </row>
    <row r="26">
      <c r="A26" s="3" t="inlineStr">
        <is>
          <t>Gases</t>
        </is>
      </c>
    </row>
    <row r="27" ht="28" customHeight="1">
      <c r="A27" s="5" t="inlineStr">
        <is>
          <t>id</t>
        </is>
      </c>
      <c r="B27" s="5" t="inlineStr">
        <is>
          <t>name</t>
        </is>
      </c>
      <c r="C27" s="5" t="inlineStr">
        <is>
          <t>formula</t>
        </is>
      </c>
      <c r="D27" s="5" t="inlineStr">
        <is>
          <t>is_biogenic</t>
        </is>
      </c>
      <c r="E27" s="5" t="inlineStr">
        <is>
          <t>gwp</t>
        </is>
      </c>
    </row>
    <row r="28">
      <c r="A28" s="40" t="n">
        <v>1</v>
      </c>
      <c r="B28" s="9" t="inlineStr">
        <is>
          <t>Dióxido de carbono</t>
        </is>
      </c>
      <c r="C28" s="40" t="inlineStr">
        <is>
          <t>CO2</t>
        </is>
      </c>
      <c r="D28" s="18" t="b">
        <v>0</v>
      </c>
      <c r="E28" s="40" t="n">
        <v>1</v>
      </c>
    </row>
    <row r="29">
      <c r="A29" s="40" t="n">
        <v>2</v>
      </c>
      <c r="B29" s="9" t="inlineStr">
        <is>
          <t>Metano</t>
        </is>
      </c>
      <c r="C29" s="40" t="inlineStr">
        <is>
          <t>CH4</t>
        </is>
      </c>
      <c r="D29" s="18" t="b">
        <v>0</v>
      </c>
      <c r="E29" s="40" t="n">
        <v>28</v>
      </c>
    </row>
    <row r="30">
      <c r="A30" s="40" t="n">
        <v>3</v>
      </c>
      <c r="B30" s="9" t="inlineStr">
        <is>
          <t>Óxido nitroso</t>
        </is>
      </c>
      <c r="C30" s="40" t="inlineStr">
        <is>
          <t>N2O</t>
        </is>
      </c>
      <c r="D30" s="18" t="b">
        <v>0</v>
      </c>
      <c r="E30" s="40" t="n">
        <v>265</v>
      </c>
    </row>
    <row r="31">
      <c r="A31" s="40" t="n">
        <v>4</v>
      </c>
      <c r="B31" s="9" t="inlineStr">
        <is>
          <t>Dióxido de carbono biogênico</t>
        </is>
      </c>
      <c r="C31" s="40" t="inlineStr">
        <is>
          <t>CO2(b)</t>
        </is>
      </c>
      <c r="D31" s="41" t="b">
        <v>1</v>
      </c>
      <c r="E31" s="40" t="n">
        <v>1</v>
      </c>
    </row>
    <row r="32">
      <c r="A32" s="40" t="n">
        <v>5</v>
      </c>
      <c r="B32" s="9" t="inlineStr">
        <is>
          <t>Hidrofluorcarbonetos</t>
        </is>
      </c>
      <c r="C32" s="40" t="inlineStr">
        <is>
          <t>HFCs</t>
        </is>
      </c>
      <c r="D32" s="18" t="b">
        <v>0</v>
      </c>
      <c r="E32" s="40" t="n">
        <v>1430</v>
      </c>
    </row>
    <row r="33">
      <c r="A33" s="40" t="n">
        <v>6</v>
      </c>
      <c r="B33" s="9" t="inlineStr">
        <is>
          <t>Hexafluoreto de enxofre</t>
        </is>
      </c>
      <c r="C33" s="40" t="inlineStr">
        <is>
          <t>SF6</t>
        </is>
      </c>
      <c r="D33" s="18" t="b">
        <v>0</v>
      </c>
      <c r="E33" s="40" t="n">
        <v>23500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2026-10-24T19:12:20Z</dcterms:created>
  <dcterms:modified xmlns:dcterms="http://purl.org/dc/terms/" xmlns:xsi="http://www.w3.org/2001/XMLSchema-instance" xsi:type="dcterms:W3CDTF">2026-10-24T19:12:20Z</dcterms:modified>
</cp:coreProperties>
</file>